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44DDF818-F30E-4FAC-92EA-CD8C49D4FC4D}" xr6:coauthVersionLast="47" xr6:coauthVersionMax="47" xr10:uidLastSave="{00000000-0000-0000-0000-000000000000}"/>
  <bookViews>
    <workbookView xWindow="-120" yWindow="-120" windowWidth="38640" windowHeight="21240" xr2:uid="{330E61A7-B046-4B6B-B555-EE01D3BF1B9F}"/>
  </bookViews>
  <sheets>
    <sheet name="Tabelle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9" i="1" l="1"/>
  <c r="G9" i="1"/>
  <c r="H8" i="1"/>
  <c r="G8" i="1"/>
  <c r="H5" i="1"/>
  <c r="H6" i="1"/>
  <c r="H7" i="1"/>
  <c r="G5" i="1"/>
  <c r="G6" i="1"/>
  <c r="G7" i="1"/>
  <c r="H4" i="1"/>
  <c r="G4" i="1"/>
  <c r="E8" i="1" a="1"/>
  <c r="E9" i="1" a="1"/>
  <c r="D8" i="1" a="1"/>
  <c r="D9" i="1" a="1"/>
  <c r="E4" i="1" a="1"/>
  <c r="E6" i="1" a="1"/>
  <c r="E5" i="1" a="1"/>
  <c r="E7" i="1" a="1"/>
  <c r="D4" i="1" a="1"/>
  <c r="E9" i="1" l="1"/>
  <c r="E8" i="1"/>
  <c r="D9" i="1"/>
  <c r="D8" i="1"/>
  <c r="E7" i="1"/>
  <c r="E5" i="1"/>
  <c r="E6" i="1"/>
  <c r="E4" i="1"/>
  <c r="D4" i="1"/>
  <c r="D6" i="1" a="1"/>
  <c r="D5" i="1" a="1"/>
  <c r="D7" i="1" a="1"/>
  <c r="D5" i="1" l="1"/>
  <c r="D6" i="1"/>
  <c r="D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<sst xmlns="http://schemas.openxmlformats.org/spreadsheetml/2006/main" count="24" uniqueCount="24">
  <si>
    <t>Kd.Nr</t>
  </si>
  <si>
    <t>Adresse</t>
  </si>
  <si>
    <t>Datum</t>
  </si>
  <si>
    <t>Start</t>
  </si>
  <si>
    <t>Ziel</t>
  </si>
  <si>
    <t>Distanz in Km</t>
  </si>
  <si>
    <t>Startadresse</t>
  </si>
  <si>
    <t>Zieladresse</t>
  </si>
  <si>
    <t>Route</t>
  </si>
  <si>
    <t>Name</t>
  </si>
  <si>
    <t>Rosenheimer Str. 5, 81667 München</t>
  </si>
  <si>
    <t>Philharmonie, München</t>
  </si>
  <si>
    <t>Franz-Josef-Strauß-Ring 1, 80539 München</t>
  </si>
  <si>
    <t>Staatskanzlei</t>
  </si>
  <si>
    <t>Geschwister-Scholl-Platz 1, 80539 München</t>
  </si>
  <si>
    <t>LMU</t>
  </si>
  <si>
    <t>Arcisstraße 21, 80333 München</t>
  </si>
  <si>
    <t>TUM</t>
  </si>
  <si>
    <t>Barer Str. 40, 80333 München</t>
  </si>
  <si>
    <t>Pinakothek, Modern</t>
  </si>
  <si>
    <t>Barer Str. 27, 80333 München</t>
  </si>
  <si>
    <t>Pinakothek, Alt</t>
  </si>
  <si>
    <t>Neuschwansteinstraße 20, 87645 Schwangau</t>
  </si>
  <si>
    <t>Schloss Neuschwanstein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</si>
</sst>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C4043"/>
      <name val="Roboto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1" fillId="2" borderId="1" xfId="1"/>
    <xf numFmtId="14" fontId="0" fillId="0" borderId="0" xfId="0" applyNumberFormat="1"/>
    <xf numFmtId="0" fontId="2" fillId="0" borderId="0" xfId="0" applyFont="1"/>
    <xf numFmtId="0" fontId="1" fillId="2" borderId="1" xfId="1" applyNumberFormat="1"/>
    <xf numFmtId="0" fontId="0" fillId="0" borderId="0" xfId="0" applyNumberFormat="1"/>
  </cellXfs>
  <cellStyles count="2">
    <cellStyle name="Berechnung" xfId="1" builtinId="22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18633-242B-4C03-822E-F741228FA8FF}">
  <sheetPr codeName="Tabelle1"/>
  <dimension ref="A3:L63"/>
  <sheetViews>
    <sheetView tabSelected="1" zoomScaleNormal="100" workbookViewId="0">
      <selection activeCell="E10" sqref="E10"/>
    </sheetView>
  </sheetViews>
  <sheetFormatPr baseColWidth="10" defaultRowHeight="15" x14ac:dyDescent="0.25"/>
  <cols>
    <col min="1" max="1" width="10.140625" bestFit="1" customWidth="1"/>
    <col min="2" max="2" width="5.140625" bestFit="1" customWidth="1"/>
    <col min="3" max="3" width="4.28515625" bestFit="1" customWidth="1"/>
    <col min="4" max="4" width="12.85546875" bestFit="1" customWidth="1"/>
    <col min="5" max="5" width="87.7109375" style="5" customWidth="1"/>
    <col min="6" max="6" width="15.5703125" customWidth="1"/>
    <col min="7" max="8" width="46" bestFit="1" customWidth="1"/>
    <col min="9" max="9" width="22.7109375" customWidth="1"/>
    <col min="10" max="10" width="6" bestFit="1" customWidth="1"/>
    <col min="11" max="11" width="49.5703125" bestFit="1" customWidth="1"/>
    <col min="12" max="12" width="22.140625" customWidth="1"/>
  </cols>
  <sheetData>
    <row r="3" spans="1:12" x14ac:dyDescent="0.25">
      <c r="A3" s="1" t="s">
        <v>2</v>
      </c>
      <c r="B3" s="1" t="s">
        <v>3</v>
      </c>
      <c r="C3" s="1" t="s">
        <v>4</v>
      </c>
      <c r="D3" s="1" t="s">
        <v>5</v>
      </c>
      <c r="E3" s="4" t="s">
        <v>8</v>
      </c>
      <c r="F3" s="1"/>
      <c r="G3" s="1" t="s">
        <v>6</v>
      </c>
      <c r="H3" s="1" t="s">
        <v>7</v>
      </c>
      <c r="I3" s="1"/>
      <c r="J3" s="1" t="s">
        <v>0</v>
      </c>
      <c r="K3" s="1" t="s">
        <v>1</v>
      </c>
      <c r="L3" s="1" t="s">
        <v>9</v>
      </c>
    </row>
    <row r="4" spans="1:12" x14ac:dyDescent="0.25">
      <c r="A4" s="2"/>
      <c r="B4">
        <v>1</v>
      </c>
      <c r="C4">
        <v>2</v>
      </c>
      <c r="D4" cm="1">
        <f t="array" ref="D4">GetDistance(G4, H4)</f>
        <v>4.8</v>
      </c>
      <c r="E4" s="5" t="str" cm="1">
        <f t="array" ref="E4">GetRouteSummary(G4, H4)</f>
        <v xml:space="preserve"> "Altstadtring-Tunnel"</v>
      </c>
      <c r="G4" t="str">
        <f>VLOOKUP(B4,$J$4:$K$80,2)</f>
        <v>Rosenheimer Str. 5, 81667 München</v>
      </c>
      <c r="H4" t="str">
        <f>VLOOKUP(C4,$J$4:$K$80,2)</f>
        <v>Franz-Josef-Strauß-Ring 1, 80539 München</v>
      </c>
      <c r="J4">
        <v>1</v>
      </c>
      <c r="K4" t="s">
        <v>10</v>
      </c>
      <c r="L4" t="s">
        <v>11</v>
      </c>
    </row>
    <row r="5" spans="1:12" x14ac:dyDescent="0.25">
      <c r="B5">
        <v>2</v>
      </c>
      <c r="C5">
        <v>4</v>
      </c>
      <c r="D5" cm="1">
        <f t="array" ref="D5">GetDistance(G5, H5)</f>
        <v>2.2000000000000002</v>
      </c>
      <c r="E5" s="5" t="str" cm="1">
        <f t="array" ref="E5">GetRouteSummary(G5, H5)</f>
        <v xml:space="preserve"> "Theresienstraße"</v>
      </c>
      <c r="G5" t="str">
        <f t="shared" ref="G5:G8" si="0">VLOOKUP(B5,$J$4:$K$80,2)</f>
        <v>Franz-Josef-Strauß-Ring 1, 80539 München</v>
      </c>
      <c r="H5" t="str">
        <f t="shared" ref="H5:H8" si="1">VLOOKUP(C5,$J$4:$K$80,2)</f>
        <v>Arcisstraße 21, 80333 München</v>
      </c>
      <c r="J5">
        <v>2</v>
      </c>
      <c r="K5" t="s">
        <v>12</v>
      </c>
      <c r="L5" t="s">
        <v>13</v>
      </c>
    </row>
    <row r="6" spans="1:12" x14ac:dyDescent="0.25">
      <c r="B6">
        <v>4</v>
      </c>
      <c r="C6">
        <v>5</v>
      </c>
      <c r="D6" cm="1">
        <f t="array" ref="D6">GetDistance(G6, H6)</f>
        <v>0.9</v>
      </c>
      <c r="E6" s="5" t="str" cm="1">
        <f t="array" ref="E6">GetRouteSummary(G6, H6)</f>
        <v xml:space="preserve"> "Gabelsbergerstraße"</v>
      </c>
      <c r="G6" t="str">
        <f t="shared" si="0"/>
        <v>Arcisstraße 21, 80333 München</v>
      </c>
      <c r="H6" t="str">
        <f t="shared" si="1"/>
        <v>Barer Str. 40, 80333 München</v>
      </c>
      <c r="J6">
        <v>3</v>
      </c>
      <c r="K6" t="s">
        <v>14</v>
      </c>
      <c r="L6" t="s">
        <v>15</v>
      </c>
    </row>
    <row r="7" spans="1:12" x14ac:dyDescent="0.25">
      <c r="B7">
        <v>5</v>
      </c>
      <c r="C7">
        <v>7</v>
      </c>
      <c r="D7" cm="1">
        <f t="array" ref="D7">GetDistance(G7, H7)</f>
        <v>126.5</v>
      </c>
      <c r="E7" s="5" t="str" cm="1">
        <f t="array" ref="E7">GetRouteSummary(G7, H7)</f>
        <v xml:space="preserve"> "A96 und B17"</v>
      </c>
      <c r="G7" t="str">
        <f t="shared" si="0"/>
        <v>Barer Str. 40, 80333 München</v>
      </c>
      <c r="H7" t="str">
        <f t="shared" si="1"/>
        <v>Neuschwansteinstraße 20, 87645 Schwangau</v>
      </c>
      <c r="J7">
        <v>4</v>
      </c>
      <c r="K7" t="s">
        <v>16</v>
      </c>
      <c r="L7" t="s">
        <v>17</v>
      </c>
    </row>
    <row r="8" spans="1:12" x14ac:dyDescent="0.25">
      <c r="B8">
        <v>7</v>
      </c>
      <c r="C8">
        <v>1</v>
      </c>
      <c r="D8" cm="1">
        <f t="array" ref="D8">GetDistance(G8, H8)</f>
        <v>118.7</v>
      </c>
      <c r="E8" s="5" t="str" cm="1">
        <f t="array" ref="E8">GetRouteSummary(G8, H8)</f>
        <v xml:space="preserve"> "A95"</v>
      </c>
      <c r="G8" t="str">
        <f t="shared" si="0"/>
        <v>Neuschwansteinstraße 20, 87645 Schwangau</v>
      </c>
      <c r="H8" t="str">
        <f t="shared" si="1"/>
        <v>Rosenheimer Str. 5, 81667 München</v>
      </c>
      <c r="J8">
        <v>5</v>
      </c>
      <c r="K8" t="s">
        <v>18</v>
      </c>
      <c r="L8" t="s">
        <v>19</v>
      </c>
    </row>
    <row r="9" spans="1:12" x14ac:dyDescent="0.25">
      <c r="B9">
        <v>1</v>
      </c>
      <c r="C9">
        <v>6</v>
      </c>
      <c r="D9" cm="1">
        <f t="array" ref="D9">GetDistance(G9, H9)</f>
        <v>4</v>
      </c>
      <c r="E9" s="5" t="str" cm="1">
        <f t="array" ref="E9">GetRouteSummary(G9, H9)</f>
        <v xml:space="preserve"> "Prinzregentenstraße"</v>
      </c>
      <c r="G9" t="str">
        <f>VLOOKUP(B9,$J$4:$K$10,2)</f>
        <v>Rosenheimer Str. 5, 81667 München</v>
      </c>
      <c r="H9" t="str">
        <f>VLOOKUP(C9,$J$4:$K$10,2)</f>
        <v>Barer Str. 27, 80333 München</v>
      </c>
      <c r="J9">
        <v>6</v>
      </c>
      <c r="K9" t="s">
        <v>20</v>
      </c>
      <c r="L9" t="s">
        <v>21</v>
      </c>
    </row>
    <row r="10" spans="1:12" x14ac:dyDescent="0.25">
      <c r="J10">
        <v>7</v>
      </c>
      <c r="K10" t="s">
        <v>22</v>
      </c>
      <c r="L10" t="s">
        <v>23</v>
      </c>
    </row>
    <row r="62" spans="11:11" x14ac:dyDescent="0.25">
      <c r="K62" s="3"/>
    </row>
    <row r="63" spans="11:11" x14ac:dyDescent="0.25">
      <c r="K63" s="3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2022-03-17T22:24:17Z</dcterms:created>
  <dcterms:modified xsi:type="dcterms:W3CDTF">2022-05-28T15:40:47Z</dcterms:modified>
</cp:coreProperties>
</file>